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1D15911-43B8-4088-8146-F56782C25EFD}" xr6:coauthVersionLast="47" xr6:coauthVersionMax="47" xr10:uidLastSave="{00000000-0000-0000-0000-000000000000}"/>
  <bookViews>
    <workbookView xWindow="13764" yWindow="1152" windowWidth="9852" windowHeight="11556" xr2:uid="{14A3AF00-F448-4EF5-B20A-0188CE53AA2C}"/>
  </bookViews>
  <sheets>
    <sheet name="EXERCICIO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 s="1"/>
  <c r="C38" i="1"/>
  <c r="D38" i="1" s="1"/>
  <c r="C39" i="1"/>
  <c r="D39" i="1" s="1"/>
  <c r="C40" i="1"/>
  <c r="D40" i="1" s="1"/>
  <c r="C41" i="1"/>
  <c r="D41" i="1" s="1"/>
  <c r="C36" i="1"/>
  <c r="D36" i="1" s="1"/>
  <c r="A9" i="2" l="1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4" i="1"/>
  <c r="D17" i="1" s="1"/>
  <c r="D20" i="1" s="1"/>
  <c r="D21" i="1" s="1"/>
  <c r="C25" i="1" l="1"/>
  <c r="D25" i="1" s="1"/>
  <c r="C24" i="1"/>
  <c r="D24" i="1" s="1"/>
  <c r="C27" i="1"/>
  <c r="D27" i="1" s="1"/>
  <c r="C26" i="1"/>
  <c r="D26" i="1" s="1"/>
  <c r="C28" i="1"/>
  <c r="D28" i="1" s="1"/>
  <c r="C33" i="1"/>
</calcChain>
</file>

<file path=xl/sharedStrings.xml><?xml version="1.0" encoding="utf-8"?>
<sst xmlns="http://schemas.openxmlformats.org/spreadsheetml/2006/main" count="69" uniqueCount="34">
  <si>
    <t>Salário</t>
  </si>
  <si>
    <t>Rendimento Carteira</t>
  </si>
  <si>
    <t xml:space="preserve">CONFIGURAÇÕES </t>
  </si>
  <si>
    <t>INVESTIMENTO MENSAL</t>
  </si>
  <si>
    <t>Quanto investir por mês?</t>
  </si>
  <si>
    <t>Por Quantos Anos?</t>
  </si>
  <si>
    <t>Taxa de Rendimento Mensal?</t>
  </si>
  <si>
    <t>Patrimio acumulado?</t>
  </si>
  <si>
    <t>Dividendos Mensais?</t>
  </si>
  <si>
    <t>CENÁRIOS</t>
  </si>
  <si>
    <t>Sugestão de Investimento (20%)</t>
  </si>
  <si>
    <t>DIVIDENDO</t>
  </si>
  <si>
    <t>Quanto em 2 Anos?</t>
  </si>
  <si>
    <t>Quanto em 3 Anos?</t>
  </si>
  <si>
    <t>Quanto em 10 Anos?</t>
  </si>
  <si>
    <t>Quanto em 20 Anos?</t>
  </si>
  <si>
    <t>Quanto em 15 Anos?</t>
  </si>
  <si>
    <t>CHAVE</t>
  </si>
  <si>
    <t>PERFIL</t>
  </si>
  <si>
    <t>TIPODE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</si>
  <si>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</si>
  <si>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</si>
  <si>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</si>
  <si>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</si>
  <si>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</si>
  <si>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</si>
  <si>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</si>
  <si>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</si>
  <si>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</si>
  <si>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</si>
  <si>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VALOR A SER INVESTIDO POR MÊS</t>
  </si>
  <si>
    <t>TIPO DE FII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</si>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</sst>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44" fontId="0" fillId="0" borderId="0" xfId="0" applyNumberFormat="1"/>
    <xf numFmtId="10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3" borderId="0" xfId="0" applyFill="1"/>
    <xf numFmtId="44" fontId="0" fillId="3" borderId="0" xfId="0" applyNumberFormat="1" applyFill="1"/>
    <xf numFmtId="0" fontId="0" fillId="4" borderId="0" xfId="0" applyFill="1"/>
    <xf numFmtId="44" fontId="0" fillId="4" borderId="0" xfId="0" applyNumberForma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5" xfId="0" applyBorder="1"/>
    <xf numFmtId="9" fontId="0" fillId="0" borderId="6" xfId="0" applyNumberFormat="1" applyBorder="1" applyAlignment="1">
      <alignment horizontal="center"/>
    </xf>
    <xf numFmtId="0" fontId="0" fillId="0" borderId="7" xfId="0" applyBorder="1"/>
    <xf numFmtId="9" fontId="0" fillId="0" borderId="8" xfId="0" applyNumberFormat="1" applyBorder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44" fontId="1" fillId="0" borderId="0" xfId="0" applyNumberFormat="1" applyFont="1"/>
    <xf numFmtId="0" fontId="0" fillId="2" borderId="0" xfId="0" applyFill="1"/>
    <xf numFmtId="10" fontId="0" fillId="0" borderId="0" xfId="0" applyNumberFormat="1" applyBorder="1"/>
    <xf numFmtId="44" fontId="0" fillId="0" borderId="6" xfId="0" applyNumberFormat="1" applyBorder="1"/>
    <xf numFmtId="10" fontId="0" fillId="0" borderId="1" xfId="0" applyNumberFormat="1" applyBorder="1"/>
    <xf numFmtId="44" fontId="0" fillId="0" borderId="8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EXERCICIO!$C$35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EXERCICIO!$B$36:$B$41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EXERCICIO!$C$36:$C$41</c:f>
              <c:numCache>
                <c:formatCode>0.00%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4-4678-B863-840AA7B5E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167640</xdr:rowOff>
    </xdr:from>
    <xdr:to>
      <xdr:col>4</xdr:col>
      <xdr:colOff>87213</xdr:colOff>
      <xdr:row>8</xdr:row>
      <xdr:rowOff>167521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081D95-F652-7C14-D331-1230C3B19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533400"/>
          <a:ext cx="3836253" cy="1097161"/>
        </a:xfrm>
        <a:prstGeom prst="rect">
          <a:avLst/>
        </a:prstGeom>
      </xdr:spPr>
    </xdr:pic>
    <xdr:clientData/>
  </xdr:twoCellAnchor>
  <xdr:twoCellAnchor>
    <xdr:from>
      <xdr:col>0</xdr:col>
      <xdr:colOff>312420</xdr:colOff>
      <xdr:row>43</xdr:row>
      <xdr:rowOff>57150</xdr:rowOff>
    </xdr:from>
    <xdr:to>
      <xdr:col>3</xdr:col>
      <xdr:colOff>922020</xdr:colOff>
      <xdr:row>52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F6334D-0CEF-4822-84C1-6877979F2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A8A8-4C8B-49A1-B859-47D3515E2108}">
  <dimension ref="A11:D41"/>
  <sheetViews>
    <sheetView tabSelected="1" topLeftCell="A33" workbookViewId="0">
      <selection activeCell="G34" sqref="G34"/>
    </sheetView>
  </sheetViews>
  <sheetFormatPr defaultRowHeight="14.4" x14ac:dyDescent="0.3"/>
  <cols>
    <col min="1" max="1" width="4.77734375" customWidth="1"/>
    <col min="2" max="2" width="25.33203125" customWidth="1"/>
    <col min="3" max="3" width="15.33203125" customWidth="1"/>
    <col min="4" max="4" width="14" customWidth="1"/>
  </cols>
  <sheetData>
    <row r="11" spans="2:4" s="5" customFormat="1" ht="17.55" customHeight="1" x14ac:dyDescent="0.3">
      <c r="B11" s="28" t="s">
        <v>2</v>
      </c>
      <c r="C11" s="28"/>
      <c r="D11" s="28"/>
    </row>
    <row r="12" spans="2:4" x14ac:dyDescent="0.3">
      <c r="B12" s="11" t="s">
        <v>0</v>
      </c>
      <c r="C12" s="11"/>
      <c r="D12" s="1">
        <v>3200</v>
      </c>
    </row>
    <row r="13" spans="2:4" x14ac:dyDescent="0.3">
      <c r="B13" s="11" t="s">
        <v>1</v>
      </c>
      <c r="C13" s="11"/>
      <c r="D13" s="2">
        <v>6.0000000000000001E-3</v>
      </c>
    </row>
    <row r="14" spans="2:4" x14ac:dyDescent="0.3">
      <c r="B14" s="11" t="s">
        <v>10</v>
      </c>
      <c r="C14" s="11"/>
      <c r="D14" s="1">
        <f>D12*20%</f>
        <v>640</v>
      </c>
    </row>
    <row r="15" spans="2:4" ht="10.5" customHeight="1" x14ac:dyDescent="0.3">
      <c r="B15" s="29"/>
      <c r="C15" s="29"/>
      <c r="D15" s="29"/>
    </row>
    <row r="16" spans="2:4" ht="18" customHeight="1" x14ac:dyDescent="0.3">
      <c r="B16" s="28" t="s">
        <v>3</v>
      </c>
      <c r="C16" s="28"/>
      <c r="D16" s="28"/>
    </row>
    <row r="17" spans="1:4" x14ac:dyDescent="0.3">
      <c r="B17" s="11" t="s">
        <v>4</v>
      </c>
      <c r="C17" s="11"/>
      <c r="D17" s="1">
        <f>D14</f>
        <v>640</v>
      </c>
    </row>
    <row r="18" spans="1:4" x14ac:dyDescent="0.3">
      <c r="B18" s="11" t="s">
        <v>5</v>
      </c>
      <c r="C18" s="11"/>
      <c r="D18" s="7">
        <v>5</v>
      </c>
    </row>
    <row r="19" spans="1:4" x14ac:dyDescent="0.3">
      <c r="B19" s="11" t="s">
        <v>6</v>
      </c>
      <c r="C19" s="11"/>
      <c r="D19" s="8">
        <v>1.0800000000000001E-2</v>
      </c>
    </row>
    <row r="20" spans="1:4" x14ac:dyDescent="0.3">
      <c r="B20" s="9" t="s">
        <v>7</v>
      </c>
      <c r="C20" s="9"/>
      <c r="D20" s="10">
        <f>FV(D19,D18*12,D17*-1)</f>
        <v>53634.572389925394</v>
      </c>
    </row>
    <row r="21" spans="1:4" x14ac:dyDescent="0.3">
      <c r="B21" s="9" t="s">
        <v>8</v>
      </c>
      <c r="C21" s="9"/>
      <c r="D21" s="10">
        <f>D20*D13</f>
        <v>321.80743433955234</v>
      </c>
    </row>
    <row r="22" spans="1:4" ht="11.55" customHeight="1" x14ac:dyDescent="0.3">
      <c r="B22" s="29"/>
      <c r="C22" s="29"/>
      <c r="D22" s="29"/>
    </row>
    <row r="23" spans="1:4" ht="17.55" customHeight="1" x14ac:dyDescent="0.3">
      <c r="B23" s="4" t="s">
        <v>9</v>
      </c>
      <c r="C23" s="4"/>
      <c r="D23" s="6" t="s">
        <v>11</v>
      </c>
    </row>
    <row r="24" spans="1:4" x14ac:dyDescent="0.3">
      <c r="A24" s="3">
        <v>2</v>
      </c>
      <c r="B24" s="11" t="s">
        <v>12</v>
      </c>
      <c r="C24" s="12">
        <f>FV($D$19,$A24*12,$D$17*-1)</f>
        <v>17427.752742772216</v>
      </c>
      <c r="D24" s="12">
        <f>$C24*$D$13</f>
        <v>104.56651645663329</v>
      </c>
    </row>
    <row r="25" spans="1:4" x14ac:dyDescent="0.3">
      <c r="A25" s="3">
        <v>3</v>
      </c>
      <c r="B25" s="11" t="s">
        <v>13</v>
      </c>
      <c r="C25" s="12">
        <f t="shared" ref="C25:C28" si="0">FV($D$19,$A25*12,$D$17*-1)</f>
        <v>27978.522782541786</v>
      </c>
      <c r="D25" s="12">
        <f t="shared" ref="D25:D28" si="1">$C25*$D$13</f>
        <v>167.87113669525073</v>
      </c>
    </row>
    <row r="26" spans="1:4" x14ac:dyDescent="0.3">
      <c r="A26" s="3">
        <v>10</v>
      </c>
      <c r="B26" s="11" t="s">
        <v>14</v>
      </c>
      <c r="C26" s="12">
        <f t="shared" si="0"/>
        <v>155812.90640307206</v>
      </c>
      <c r="D26" s="12">
        <f t="shared" si="1"/>
        <v>934.87743841843235</v>
      </c>
    </row>
    <row r="27" spans="1:4" x14ac:dyDescent="0.3">
      <c r="A27" s="3">
        <v>15</v>
      </c>
      <c r="B27" s="11" t="s">
        <v>16</v>
      </c>
      <c r="C27" s="12">
        <f t="shared" si="0"/>
        <v>350471.15529895155</v>
      </c>
      <c r="D27" s="12">
        <f t="shared" si="1"/>
        <v>2102.8269317937093</v>
      </c>
    </row>
    <row r="28" spans="1:4" x14ac:dyDescent="0.3">
      <c r="A28" s="3">
        <v>20</v>
      </c>
      <c r="B28" s="11" t="s">
        <v>15</v>
      </c>
      <c r="C28" s="12">
        <f t="shared" si="0"/>
        <v>721311.35571105499</v>
      </c>
      <c r="D28" s="12">
        <f t="shared" si="1"/>
        <v>4327.8681342663303</v>
      </c>
    </row>
    <row r="32" spans="1:4" x14ac:dyDescent="0.3">
      <c r="B32" s="32" t="s">
        <v>18</v>
      </c>
      <c r="C32" s="32" t="s">
        <v>21</v>
      </c>
      <c r="D32" s="32"/>
    </row>
    <row r="33" spans="2:4" x14ac:dyDescent="0.3">
      <c r="B33" s="30" t="s">
        <v>30</v>
      </c>
      <c r="C33" s="31">
        <f>D17</f>
        <v>640</v>
      </c>
    </row>
    <row r="34" spans="2:4" ht="15" thickBot="1" x14ac:dyDescent="0.35"/>
    <row r="35" spans="2:4" x14ac:dyDescent="0.3">
      <c r="B35" s="37" t="s">
        <v>31</v>
      </c>
      <c r="C35" s="38" t="s">
        <v>32</v>
      </c>
      <c r="D35" s="39" t="s">
        <v>33</v>
      </c>
    </row>
    <row r="36" spans="2:4" x14ac:dyDescent="0.3">
      <c r="B36" s="20" t="s">
        <v>22</v>
      </c>
      <c r="C36" s="33">
        <f>VLOOKUP($C$32&amp;"-"&amp;B36,Planilha2!$A:$D,4,)</f>
        <v>0.3</v>
      </c>
      <c r="D36" s="34">
        <f>C36*$C$33</f>
        <v>192</v>
      </c>
    </row>
    <row r="37" spans="2:4" x14ac:dyDescent="0.3">
      <c r="B37" s="20" t="s">
        <v>23</v>
      </c>
      <c r="C37" s="33">
        <f>VLOOKUP($C$32&amp;"-"&amp;B37,Planilha2!$A:$D,4,)</f>
        <v>0.5</v>
      </c>
      <c r="D37" s="34">
        <f t="shared" ref="D37:D41" si="2">C37*$C$33</f>
        <v>320</v>
      </c>
    </row>
    <row r="38" spans="2:4" x14ac:dyDescent="0.3">
      <c r="B38" s="20" t="s">
        <v>24</v>
      </c>
      <c r="C38" s="33">
        <f>VLOOKUP($C$32&amp;"-"&amp;B38,Planilha2!$A:$D,4,)</f>
        <v>0.1</v>
      </c>
      <c r="D38" s="34">
        <f t="shared" si="2"/>
        <v>64</v>
      </c>
    </row>
    <row r="39" spans="2:4" x14ac:dyDescent="0.3">
      <c r="B39" s="20" t="s">
        <v>25</v>
      </c>
      <c r="C39" s="33">
        <f>VLOOKUP($C$32&amp;"-"&amp;B39,Planilha2!$A:$D,4,)</f>
        <v>0.1</v>
      </c>
      <c r="D39" s="34">
        <f t="shared" si="2"/>
        <v>64</v>
      </c>
    </row>
    <row r="40" spans="2:4" x14ac:dyDescent="0.3">
      <c r="B40" s="20" t="s">
        <v>26</v>
      </c>
      <c r="C40" s="33">
        <f>VLOOKUP($C$32&amp;"-"&amp;B40,Planilha2!$A:$D,4,)</f>
        <v>0</v>
      </c>
      <c r="D40" s="34">
        <f t="shared" si="2"/>
        <v>0</v>
      </c>
    </row>
    <row r="41" spans="2:4" ht="15" thickBot="1" x14ac:dyDescent="0.35">
      <c r="B41" s="22" t="s">
        <v>27</v>
      </c>
      <c r="C41" s="35">
        <f>VLOOKUP($C$32&amp;"-"&amp;B41,Planilha2!$A:$D,4,)</f>
        <v>0</v>
      </c>
      <c r="D41" s="36">
        <f t="shared" si="2"/>
        <v>0</v>
      </c>
    </row>
  </sheetData>
  <mergeCells count="4">
    <mergeCell ref="B16:D16"/>
    <mergeCell ref="B11:D11"/>
    <mergeCell ref="B15:D15"/>
    <mergeCell ref="B22:D22"/>
  </mergeCells>
  <dataValidations count="1">
    <dataValidation type="list" allowBlank="1" showInputMessage="1" showErrorMessage="1" sqref="C32" xr:uid="{57DCEC97-AAAE-4EAC-AEEF-33A16119139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2C1A-365D-4D8A-84C7-1A955566EB15}">
  <dimension ref="A1:D20"/>
  <sheetViews>
    <sheetView zoomScale="90" zoomScaleNormal="90" workbookViewId="0">
      <selection activeCell="C7" sqref="C7"/>
    </sheetView>
  </sheetViews>
  <sheetFormatPr defaultRowHeight="14.4" x14ac:dyDescent="0.3"/>
  <cols>
    <col min="1" max="1" width="29.44140625" customWidth="1"/>
    <col min="2" max="2" width="15.21875" customWidth="1"/>
    <col min="3" max="3" width="18.33203125" customWidth="1"/>
  </cols>
  <sheetData>
    <row r="1" spans="1:4" ht="15" thickBot="1" x14ac:dyDescent="0.35"/>
    <row r="2" spans="1:4" ht="19.5" customHeight="1" thickBot="1" x14ac:dyDescent="0.35">
      <c r="A2" s="24" t="s">
        <v>17</v>
      </c>
      <c r="B2" s="25" t="s">
        <v>18</v>
      </c>
      <c r="C2" s="26" t="s">
        <v>19</v>
      </c>
      <c r="D2" s="27" t="s">
        <v>20</v>
      </c>
    </row>
    <row r="3" spans="1:4" x14ac:dyDescent="0.3">
      <c r="A3" s="16" t="str">
        <f>+B3&amp;"-"&amp;C3</f>
        <v>Conservador-PAPEL</v>
      </c>
      <c r="B3" s="17" t="s">
        <v>21</v>
      </c>
      <c r="C3" s="18" t="s">
        <v>22</v>
      </c>
      <c r="D3" s="19">
        <v>0.3</v>
      </c>
    </row>
    <row r="4" spans="1:4" x14ac:dyDescent="0.3">
      <c r="A4" s="20" t="str">
        <f t="shared" ref="A4:A20" si="0">+B4&amp;"-"&amp;C4</f>
        <v>Conservador-TIJOLO</v>
      </c>
      <c r="B4" t="s">
        <v>21</v>
      </c>
      <c r="C4" s="13" t="s">
        <v>23</v>
      </c>
      <c r="D4" s="21">
        <v>0.5</v>
      </c>
    </row>
    <row r="5" spans="1:4" x14ac:dyDescent="0.3">
      <c r="A5" s="20" t="str">
        <f t="shared" si="0"/>
        <v>Conservador-HÍBRIDOS</v>
      </c>
      <c r="B5" t="s">
        <v>21</v>
      </c>
      <c r="C5" s="13" t="s">
        <v>24</v>
      </c>
      <c r="D5" s="21">
        <v>0.1</v>
      </c>
    </row>
    <row r="6" spans="1:4" x14ac:dyDescent="0.3">
      <c r="A6" s="20" t="str">
        <f t="shared" si="0"/>
        <v>Conservador-FOFs</v>
      </c>
      <c r="B6" t="s">
        <v>21</v>
      </c>
      <c r="C6" s="13" t="s">
        <v>25</v>
      </c>
      <c r="D6" s="21">
        <v>0.1</v>
      </c>
    </row>
    <row r="7" spans="1:4" x14ac:dyDescent="0.3">
      <c r="A7" s="20" t="str">
        <f t="shared" si="0"/>
        <v>Conservador-DESENVOLVIMENTO</v>
      </c>
      <c r="B7" t="s">
        <v>21</v>
      </c>
      <c r="C7" s="13" t="s">
        <v>26</v>
      </c>
      <c r="D7" s="21">
        <v>0</v>
      </c>
    </row>
    <row r="8" spans="1:4" ht="15" thickBot="1" x14ac:dyDescent="0.35">
      <c r="A8" s="22" t="str">
        <f t="shared" si="0"/>
        <v>Conservador-HOTELARIAS</v>
      </c>
      <c r="B8" s="14" t="s">
        <v>21</v>
      </c>
      <c r="C8" s="15" t="s">
        <v>27</v>
      </c>
      <c r="D8" s="23">
        <v>0</v>
      </c>
    </row>
    <row r="9" spans="1:4" x14ac:dyDescent="0.3">
      <c r="A9" s="16" t="str">
        <f t="shared" si="0"/>
        <v>Moderado-PAPEL</v>
      </c>
      <c r="B9" s="17" t="s">
        <v>28</v>
      </c>
      <c r="C9" s="18" t="s">
        <v>22</v>
      </c>
      <c r="D9" s="19">
        <v>0.32</v>
      </c>
    </row>
    <row r="10" spans="1:4" x14ac:dyDescent="0.3">
      <c r="A10" s="20" t="str">
        <f t="shared" si="0"/>
        <v>Moderado-TIJOLO</v>
      </c>
      <c r="B10" t="s">
        <v>28</v>
      </c>
      <c r="C10" s="13" t="s">
        <v>23</v>
      </c>
      <c r="D10" s="21">
        <v>0.35</v>
      </c>
    </row>
    <row r="11" spans="1:4" x14ac:dyDescent="0.3">
      <c r="A11" s="20" t="str">
        <f t="shared" si="0"/>
        <v>Moderado-HÍBRIDOS</v>
      </c>
      <c r="B11" t="s">
        <v>28</v>
      </c>
      <c r="C11" s="13" t="s">
        <v>24</v>
      </c>
      <c r="D11" s="21">
        <v>0.08</v>
      </c>
    </row>
    <row r="12" spans="1:4" x14ac:dyDescent="0.3">
      <c r="A12" s="20" t="str">
        <f t="shared" si="0"/>
        <v>Moderado-FOFs</v>
      </c>
      <c r="B12" t="s">
        <v>28</v>
      </c>
      <c r="C12" s="13" t="s">
        <v>25</v>
      </c>
      <c r="D12" s="21">
        <v>0.05</v>
      </c>
    </row>
    <row r="13" spans="1:4" x14ac:dyDescent="0.3">
      <c r="A13" s="20" t="str">
        <f t="shared" si="0"/>
        <v>Moderado-DESENVOLVIMENTO</v>
      </c>
      <c r="B13" t="s">
        <v>28</v>
      </c>
      <c r="C13" s="13" t="s">
        <v>26</v>
      </c>
      <c r="D13" s="21">
        <v>0.1</v>
      </c>
    </row>
    <row r="14" spans="1:4" ht="15" thickBot="1" x14ac:dyDescent="0.35">
      <c r="A14" s="22" t="str">
        <f t="shared" si="0"/>
        <v>Moderado-HOTELARIAS</v>
      </c>
      <c r="B14" s="14" t="s">
        <v>28</v>
      </c>
      <c r="C14" s="15" t="s">
        <v>27</v>
      </c>
      <c r="D14" s="23">
        <v>0.1</v>
      </c>
    </row>
    <row r="15" spans="1:4" x14ac:dyDescent="0.3">
      <c r="A15" s="16" t="str">
        <f t="shared" si="0"/>
        <v>Agressivo-PAPEL</v>
      </c>
      <c r="B15" s="17" t="s">
        <v>29</v>
      </c>
      <c r="C15" s="18" t="s">
        <v>22</v>
      </c>
      <c r="D15" s="19">
        <v>0.5</v>
      </c>
    </row>
    <row r="16" spans="1:4" x14ac:dyDescent="0.3">
      <c r="A16" s="20" t="str">
        <f t="shared" si="0"/>
        <v>Agressivo-TIJOLO</v>
      </c>
      <c r="B16" t="s">
        <v>29</v>
      </c>
      <c r="C16" s="13" t="s">
        <v>23</v>
      </c>
      <c r="D16" s="21">
        <v>0.1</v>
      </c>
    </row>
    <row r="17" spans="1:4" x14ac:dyDescent="0.3">
      <c r="A17" s="20" t="str">
        <f t="shared" si="0"/>
        <v>Agressivo-HÍBRIDOS</v>
      </c>
      <c r="B17" t="s">
        <v>29</v>
      </c>
      <c r="C17" s="13" t="s">
        <v>24</v>
      </c>
      <c r="D17" s="21">
        <v>0.05</v>
      </c>
    </row>
    <row r="18" spans="1:4" x14ac:dyDescent="0.3">
      <c r="A18" s="20" t="str">
        <f t="shared" si="0"/>
        <v>Agressivo-FOFs</v>
      </c>
      <c r="B18" t="s">
        <v>29</v>
      </c>
      <c r="C18" s="13" t="s">
        <v>25</v>
      </c>
      <c r="D18" s="21">
        <v>0.05</v>
      </c>
    </row>
    <row r="19" spans="1:4" x14ac:dyDescent="0.3">
      <c r="A19" s="20" t="str">
        <f t="shared" si="0"/>
        <v>Agressivo-DESENVOLVIMENTO</v>
      </c>
      <c r="B19" t="s">
        <v>29</v>
      </c>
      <c r="C19" s="13" t="s">
        <v>26</v>
      </c>
      <c r="D19" s="21">
        <v>0.2</v>
      </c>
    </row>
    <row r="20" spans="1:4" ht="15" thickBot="1" x14ac:dyDescent="0.35">
      <c r="A20" s="22" t="str">
        <f t="shared" si="0"/>
        <v>Agressivo-HOTELARIAS</v>
      </c>
      <c r="B20" s="14" t="s">
        <v>29</v>
      </c>
      <c r="C20" s="15" t="s">
        <v>27</v>
      </c>
      <c r="D20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EXERCICIO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Financiero</dc:creator>
  <cp:lastModifiedBy>Carmen Salcedo Hijar</cp:lastModifiedBy>
  <dcterms:created xsi:type="dcterms:W3CDTF">2026-02-04T19:49:17Z</dcterms:created>
  <dcterms:modified xsi:type="dcterms:W3CDTF">2026-02-09T23:42:49Z</dcterms:modified>
</cp:coreProperties>
</file>